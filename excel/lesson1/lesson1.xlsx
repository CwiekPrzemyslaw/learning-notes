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cwiek\Desktop\"/>
    </mc:Choice>
  </mc:AlternateContent>
  <xr:revisionPtr revIDLastSave="0" documentId="13_ncr:1_{9F706E24-23D4-477B-95D0-C14FC976690E}" xr6:coauthVersionLast="47" xr6:coauthVersionMax="47" xr10:uidLastSave="{00000000-0000-0000-0000-000000000000}"/>
  <bookViews>
    <workbookView xWindow="-120" yWindow="-120" windowWidth="29040" windowHeight="15720" xr2:uid="{0F53ACE2-C3E7-47B0-8995-6250D5CECC32}"/>
  </bookViews>
  <sheets>
    <sheet name="T1-T6a" sheetId="1" r:id="rId1"/>
    <sheet name="Pivot Table T6b &amp;T7" sheetId="3" r:id="rId2"/>
  </sheets>
  <definedNames>
    <definedName name="Slicer_Kategoria">#N/A</definedName>
  </definedNames>
  <calcPr calcId="191029"/>
  <pivotCaches>
    <pivotCache cacheId="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 i="1" l="1"/>
  <c r="N8" i="1"/>
  <c r="N9" i="1"/>
  <c r="N6" i="1"/>
  <c r="Q2" i="1"/>
  <c r="M6" i="1" a="1"/>
  <c r="M6" i="1" s="1"/>
  <c r="T2" i="1" a="1"/>
  <c r="K2" i="1"/>
  <c r="K3" i="1"/>
  <c r="K4" i="1"/>
  <c r="K5" i="1"/>
  <c r="K6" i="1"/>
  <c r="K7" i="1"/>
  <c r="K8" i="1"/>
  <c r="K9" i="1"/>
  <c r="I2" i="1"/>
  <c r="I3" i="1"/>
  <c r="J3" i="1" s="1"/>
  <c r="I4" i="1"/>
  <c r="J4" i="1" s="1"/>
  <c r="I5" i="1"/>
  <c r="J5" i="1" s="1"/>
  <c r="I6" i="1"/>
  <c r="J6" i="1" s="1"/>
  <c r="I7" i="1"/>
  <c r="J7" i="1" s="1"/>
  <c r="I8" i="1"/>
  <c r="J8" i="1" s="1"/>
  <c r="I9" i="1"/>
  <c r="J9" i="1" s="1"/>
  <c r="T2" i="1" l="1"/>
  <c r="J2" i="1"/>
  <c r="O2" i="1"/>
  <c r="N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<sst xmlns="http://schemas.openxmlformats.org/spreadsheetml/2006/main" count="64" uniqueCount="35">
  <si>
    <t>OrderID</t>
  </si>
  <si>
    <t>Date</t>
  </si>
  <si>
    <t>Dostawca</t>
  </si>
  <si>
    <t>Kategoria</t>
  </si>
  <si>
    <t>Kraj</t>
  </si>
  <si>
    <t>Cena_jedn</t>
  </si>
  <si>
    <t>Ilosc</t>
  </si>
  <si>
    <t>Waluta</t>
  </si>
  <si>
    <t>AlphaTrade</t>
  </si>
  <si>
    <t>IT</t>
  </si>
  <si>
    <t>PL</t>
  </si>
  <si>
    <t>PLN</t>
  </si>
  <si>
    <t>BetaSupply</t>
  </si>
  <si>
    <t>Logistyka</t>
  </si>
  <si>
    <t>DE</t>
  </si>
  <si>
    <t>EUR</t>
  </si>
  <si>
    <t>GammaCorp</t>
  </si>
  <si>
    <t>Marketing</t>
  </si>
  <si>
    <t>US</t>
  </si>
  <si>
    <t>USD</t>
  </si>
  <si>
    <t>DeltaGroup</t>
  </si>
  <si>
    <t>Wartość zamówienia</t>
  </si>
  <si>
    <t>Column1</t>
  </si>
  <si>
    <t>Miesiąc</t>
  </si>
  <si>
    <t>Max dostawca:</t>
  </si>
  <si>
    <t>task 5</t>
  </si>
  <si>
    <t>T4</t>
  </si>
  <si>
    <t>T5</t>
  </si>
  <si>
    <t>Data Bank</t>
  </si>
  <si>
    <t>T6a</t>
  </si>
  <si>
    <t>Row Labels</t>
  </si>
  <si>
    <t>Grand Total</t>
  </si>
  <si>
    <t>Column Labels</t>
  </si>
  <si>
    <t>Sum of Wartość zamówienia</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</si>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</sst>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charset val="238"/>
      <scheme val="minor"/>
    </font>
    <font>
      <sz val="8"/>
      <name val="Aptos Narrow"/>
      <family val="2"/>
      <charset val="238"/>
      <scheme val="minor"/>
    </font>
    <font>
      <sz val="11"/>
      <color theme="0"/>
      <name val="Aptos Narrow"/>
      <family val="2"/>
      <charset val="238"/>
      <scheme val="minor"/>
    </font>
    <font>
      <sz val="11"/>
      <name val="Aptos Narrow"/>
      <family val="2"/>
      <charset val="238"/>
      <scheme val="minor"/>
    </font>
    <font>
      <sz val="11"/>
      <color rgb="FFC00000"/>
      <name val="Aptos Narrow"/>
      <family val="2"/>
      <charset val="238"/>
      <scheme val="minor"/>
    </font>
    <font>
      <sz val="11"/>
      <color rgb="FFC00000"/>
      <name val="Aptos Narrow"/>
      <family val="2"/>
      <scheme val="minor"/>
    </font>
    <font>
      <sz val="11"/>
      <color theme="1"/>
      <name val="Aptos Narrow"/>
      <family val="2"/>
      <scheme val="minor"/>
    </font>
  </fonts>
  <fills count="2">
    <fill>
      <patternFill patternType="none"/>
    </fill>
    <fill>
      <patternFill patternType="gray125"/>
    </fill>
  </fills>
  <borders count="4">
    <border>
      <left/>
      <right/>
      <top/>
      <bottom/>
      <diagonal/>
    </border>
    <border>
      <left style="thin">
        <color rgb="FFC00000"/>
      </left>
      <right style="thin">
        <color rgb="FFC00000"/>
      </right>
      <top/>
      <bottom/>
      <diagonal/>
    </border>
    <border>
      <left style="thin">
        <color rgb="FFC00000"/>
      </left>
      <right style="thin">
        <color rgb="FFC00000"/>
      </right>
      <top/>
      <bottom style="thin">
        <color rgb="FFC00000"/>
      </bottom>
      <diagonal/>
    </border>
    <border>
      <left style="thin">
        <color rgb="FFC00000"/>
      </left>
      <right style="thin">
        <color rgb="FFC00000"/>
      </right>
      <top style="thin">
        <color rgb="FFC00000"/>
      </top>
      <bottom/>
      <diagonal/>
    </border>
  </borders>
  <cellStyleXfs count="1">
    <xf numFmtId="0" fontId="0" fillId="0" borderId="0"/>
  </cellStyleXfs>
  <cellXfs count="15">
    <xf numFmtId="0" fontId="0" fillId="0" borderId="0" xfId="0"/>
    <xf numFmtId="14" fontId="0" fillId="0" borderId="0" xfId="0" applyNumberFormat="1"/>
    <xf numFmtId="0" fontId="2" fillId="0" borderId="0" xfId="0" applyFont="1"/>
    <xf numFmtId="0" fontId="3" fillId="0" borderId="0" xfId="0" applyFont="1"/>
    <xf numFmtId="0" fontId="4" fillId="0" borderId="0" xfId="0" applyFont="1"/>
    <xf numFmtId="0" fontId="0" fillId="0" borderId="2" xfId="0" applyBorder="1"/>
    <xf numFmtId="0" fontId="4" fillId="0" borderId="3" xfId="0" applyFont="1" applyBorder="1"/>
    <xf numFmtId="0" fontId="5" fillId="0" borderId="3" xfId="0" applyFont="1" applyBorder="1"/>
    <xf numFmtId="0" fontId="6" fillId="0" borderId="1" xfId="0" applyFont="1" applyBorder="1"/>
    <xf numFmtId="0" fontId="6" fillId="0" borderId="2" xfId="0" applyFont="1" applyBorder="1"/>
    <xf numFmtId="0" fontId="6" fillId="0" borderId="0" xfId="0" applyFont="1"/>
    <xf numFmtId="0" fontId="0" fillId="0" borderId="0" xfId="0" pivotButton="1" applyFont="1"/>
    <xf numFmtId="0" fontId="0" fillId="0" borderId="0" xfId="0" applyFont="1"/>
    <xf numFmtId="0" fontId="0" fillId="0" borderId="0" xfId="0" applyFont="1" applyAlignment="1">
      <alignment horizontal="left"/>
    </xf>
    <xf numFmtId="0" fontId="0" fillId="0" borderId="0" xfId="0" applyNumberFormat="1" applyFont="1"/>
  </cellXfs>
  <cellStyles count="1">
    <cellStyle name="Normal" xfId="0" builtinId="0"/>
  </cellStyles>
  <dxfs count="165">
    <dxf>
      <numFmt numFmtId="0" formatCode="General"/>
    </dxf>
    <dxf>
      <font>
        <color rgb="FF006100"/>
      </font>
      <fill>
        <patternFill>
          <bgColor rgb="FFC6EFCE"/>
        </patternFill>
      </fill>
    </dxf>
    <dxf>
      <numFmt numFmtId="0" formatCode="General"/>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val="0"/>
      </font>
    </dxf>
    <dxf>
      <font>
        <b/>
      </font>
    </dxf>
    <dxf>
      <numFmt numFmtId="0" formatCode="General"/>
    </dxf>
    <dxf>
      <numFmt numFmtId="0" formatCode="General"/>
    </dxf>
    <dxf>
      <numFmt numFmtId="0" formatCode="General"/>
    </dxf>
    <dxf>
      <numFmt numFmtId="19" formatCode="dd/mm/yyyy"/>
    </dxf>
  </dxfs>
  <tableStyles count="1" defaultTableStyle="TableStyleMedium2" defaultPivotStyle="PivotStyleLight16">
    <tableStyle name="Slicer Style 1" pivot="0" table="0" count="0" xr9:uid="{9FC7B613-5059-4267-8C4D-BAFAE7681F5B}"/>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5</xdr:col>
      <xdr:colOff>247650</xdr:colOff>
      <xdr:row>2</xdr:row>
      <xdr:rowOff>19050</xdr:rowOff>
    </xdr:from>
    <xdr:to>
      <xdr:col>7</xdr:col>
      <xdr:colOff>95250</xdr:colOff>
      <xdr:row>16</xdr:row>
      <xdr:rowOff>19050</xdr:rowOff>
    </xdr:to>
    <mc:AlternateContent xmlns:mc="http://schemas.openxmlformats.org/markup-compatibility/2006">
      <mc:Choice xmlns:a14="http://schemas.microsoft.com/office/drawing/2010/main" Requires="a14">
        <xdr:graphicFrame macro="">
          <xdr:nvGraphicFramePr>
            <xdr:cNvPr id="2" name="Kategoria">
              <a:extLst>
                <a:ext uri="{FF2B5EF4-FFF2-40B4-BE49-F238E27FC236}">
                  <a16:creationId xmlns:a16="http://schemas.microsoft.com/office/drawing/2014/main" id="{4C006E5A-B313-BEAB-77A6-74473771A9C1}"/>
                </a:ext>
              </a:extLst>
            </xdr:cNvPr>
            <xdr:cNvGraphicFramePr/>
          </xdr:nvGraphicFramePr>
          <xdr:xfrm>
            <a:off x="0" y="0"/>
            <a:ext cx="0" cy="0"/>
          </xdr:xfrm>
          <a:graphic>
            <a:graphicData uri="http://schemas.microsoft.com/office/drawing/2010/slicer">
              <sle:slicer xmlns:sle="http://schemas.microsoft.com/office/drawing/2010/slicer" name="Kategoria"/>
            </a:graphicData>
          </a:graphic>
        </xdr:graphicFrame>
      </mc:Choice>
      <mc:Fallback>
        <xdr:sp macro="" textlink="">
          <xdr:nvSpPr>
            <xdr:cNvPr id="0" name=""/>
            <xdr:cNvSpPr>
              <a:spLocks noTextEdit="1"/>
            </xdr:cNvSpPr>
          </xdr:nvSpPr>
          <xdr:spPr>
            <a:xfrm>
              <a:off x="5191125" y="4000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l will" refreshedDate="46051.514261458331" createdVersion="8" refreshedVersion="8" minRefreshableVersion="3" recordCount="8" xr:uid="{827ACE64-3A48-4C3C-B03A-CF5A213B03D7}">
  <cacheSource type="worksheet">
    <worksheetSource name="Tabela1"/>
  </cacheSource>
  <cacheFields count="11">
    <cacheField name="OrderID" numFmtId="0">
      <sharedItems containsSemiMixedTypes="0" containsString="0" containsNumber="1" containsInteger="1" minValue="1001" maxValue="1008"/>
    </cacheField>
    <cacheField name="Date" numFmtId="14">
      <sharedItems containsSemiMixedTypes="0" containsNonDate="0" containsDate="1" containsString="0" minDate="2024-01-05T00:00:00" maxDate="2024-03-04T00:00:00"/>
    </cacheField>
    <cacheField name="Dostawca" numFmtId="0">
      <sharedItems count="4">
        <s v="AlphaTrade"/>
        <s v="BetaSupply"/>
        <s v="GammaCorp"/>
        <s v="DeltaGroup"/>
      </sharedItems>
    </cacheField>
    <cacheField name="Kategoria" numFmtId="0">
      <sharedItems count="3">
        <s v="IT"/>
        <s v="Logistyka"/>
        <s v="Marketing"/>
      </sharedItems>
    </cacheField>
    <cacheField name="Kraj" numFmtId="0">
      <sharedItems count="3">
        <s v="PL"/>
        <s v="DE"/>
        <s v="US"/>
      </sharedItems>
    </cacheField>
    <cacheField name="Cena_jedn" numFmtId="0">
      <sharedItems containsSemiMixedTypes="0" containsString="0" containsNumber="1" containsInteger="1" minValue="78" maxValue="210"/>
    </cacheField>
    <cacheField name="Ilosc" numFmtId="0">
      <sharedItems containsSemiMixedTypes="0" containsString="0" containsNumber="1" containsInteger="1" minValue="5" maxValue="30"/>
    </cacheField>
    <cacheField name="Waluta" numFmtId="0">
      <sharedItems/>
    </cacheField>
    <cacheField name="Wartość zamówienia" numFmtId="0">
      <sharedItems containsSemiMixedTypes="0" containsString="0" containsNumber="1" containsInteger="1" minValue="575" maxValue="2360" count="8">
        <n v="1200"/>
        <n v="2000"/>
        <n v="575"/>
        <n v="1600"/>
        <n v="2340"/>
        <n v="1560"/>
        <n v="1260"/>
        <n v="2360"/>
      </sharedItems>
    </cacheField>
    <cacheField name="Column1" numFmtId="0">
      <sharedItems/>
    </cacheField>
    <cacheField name="Miesiąc" numFmtId="0">
      <sharedItems containsSemiMixedTypes="0" containsString="0" containsNumber="1" containsInteger="1" minValue="1" maxValue="3"/>
    </cacheField>
  </cacheFields>
  <extLst>
    <ext xmlns:x14="http://schemas.microsoft.com/office/spreadsheetml/2009/9/main" uri="{725AE2AE-9491-48be-B2B4-4EB974FC3084}">
      <x14:pivotCacheDefinition pivotCacheId="13691721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001"/>
    <d v="2024-01-05T00:00:00"/>
    <x v="0"/>
    <x v="0"/>
    <x v="0"/>
    <n v="120"/>
    <n v="10"/>
    <s v="PLN"/>
    <x v="0"/>
    <s v="Grupa2"/>
    <n v="1"/>
  </r>
  <r>
    <n v="1002"/>
    <d v="2024-01-07T00:00:00"/>
    <x v="1"/>
    <x v="1"/>
    <x v="1"/>
    <n v="80"/>
    <n v="25"/>
    <s v="EUR"/>
    <x v="1"/>
    <s v="Grupa2"/>
    <n v="1"/>
  </r>
  <r>
    <n v="1003"/>
    <d v="2024-01-10T00:00:00"/>
    <x v="0"/>
    <x v="0"/>
    <x v="0"/>
    <n v="115"/>
    <n v="5"/>
    <s v="PLN"/>
    <x v="2"/>
    <s v="Grupa2"/>
    <n v="1"/>
  </r>
  <r>
    <n v="1004"/>
    <d v="2024-02-02T00:00:00"/>
    <x v="2"/>
    <x v="2"/>
    <x v="2"/>
    <n v="200"/>
    <n v="8"/>
    <s v="USD"/>
    <x v="3"/>
    <s v="Grupa2"/>
    <n v="2"/>
  </r>
  <r>
    <n v="1005"/>
    <d v="2024-02-05T00:00:00"/>
    <x v="1"/>
    <x v="1"/>
    <x v="1"/>
    <n v="78"/>
    <n v="30"/>
    <s v="EUR"/>
    <x v="4"/>
    <s v="Grupa1"/>
    <n v="2"/>
  </r>
  <r>
    <n v="1006"/>
    <d v="2024-02-20T00:00:00"/>
    <x v="3"/>
    <x v="0"/>
    <x v="0"/>
    <n v="130"/>
    <n v="12"/>
    <s v="PLN"/>
    <x v="5"/>
    <s v="Grupa2"/>
    <n v="2"/>
  </r>
  <r>
    <n v="1007"/>
    <d v="2024-03-01T00:00:00"/>
    <x v="2"/>
    <x v="2"/>
    <x v="2"/>
    <n v="210"/>
    <n v="6"/>
    <s v="USD"/>
    <x v="6"/>
    <s v="Grupa2"/>
    <n v="3"/>
  </r>
  <r>
    <n v="1008"/>
    <d v="2024-03-03T00:00:00"/>
    <x v="0"/>
    <x v="0"/>
    <x v="0"/>
    <n v="118"/>
    <n v="20"/>
    <s v="PLN"/>
    <x v="7"/>
    <s v="Grupa1"/>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661000-3FC7-4709-8363-95CDC5AB14E6}"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rowPageCount="1" colPageCount="1"/>
  <pivotFields count="11">
    <pivotField showAll="0"/>
    <pivotField numFmtId="14" showAll="0"/>
    <pivotField axis="axisRow" showAll="0">
      <items count="5">
        <item x="0"/>
        <item x="1"/>
        <item x="3"/>
        <item x="2"/>
        <item t="default"/>
      </items>
    </pivotField>
    <pivotField axis="axisCol" showAll="0">
      <items count="4">
        <item x="0"/>
        <item x="1"/>
        <item x="2"/>
        <item t="default"/>
      </items>
    </pivotField>
    <pivotField axis="axisPage" showAll="0">
      <items count="4">
        <item x="1"/>
        <item x="0"/>
        <item x="2"/>
        <item t="default"/>
      </items>
    </pivotField>
    <pivotField showAll="0"/>
    <pivotField showAll="0"/>
    <pivotField showAll="0"/>
    <pivotField dataField="1" showAll="0">
      <items count="9">
        <item x="2"/>
        <item x="0"/>
        <item x="6"/>
        <item x="5"/>
        <item x="3"/>
        <item x="1"/>
        <item x="4"/>
        <item x="7"/>
        <item t="default"/>
      </items>
    </pivotField>
    <pivotField showAll="0"/>
    <pivotField showAll="0"/>
  </pivotFields>
  <rowFields count="1">
    <field x="2"/>
  </rowFields>
  <rowItems count="5">
    <i>
      <x/>
    </i>
    <i>
      <x v="1"/>
    </i>
    <i>
      <x v="2"/>
    </i>
    <i>
      <x v="3"/>
    </i>
    <i t="grand">
      <x/>
    </i>
  </rowItems>
  <colFields count="1">
    <field x="3"/>
  </colFields>
  <colItems count="4">
    <i>
      <x/>
    </i>
    <i>
      <x v="1"/>
    </i>
    <i>
      <x v="2"/>
    </i>
    <i t="grand">
      <x/>
    </i>
  </colItems>
  <pageFields count="1">
    <pageField fld="4" hier="-1"/>
  </pageFields>
  <dataFields count="1">
    <dataField name="Sum of Wartość zamówienia" fld="8" baseField="0" baseItem="0"/>
  </dataFields>
  <formats count="6">
    <format dxfId="159">
      <pivotArea type="all" dataOnly="0" outline="0" fieldPosition="0"/>
    </format>
    <format dxfId="152">
      <pivotArea outline="0" collapsedLevelsAreSubtotals="1" fieldPosition="0"/>
    </format>
    <format dxfId="151">
      <pivotArea field="2" type="button" dataOnly="0" labelOnly="1" outline="0" axis="axisRow" fieldPosition="0"/>
    </format>
    <format dxfId="150">
      <pivotArea dataOnly="0" labelOnly="1" fieldPosition="0">
        <references count="1">
          <reference field="2" count="0"/>
        </references>
      </pivotArea>
    </format>
    <format dxfId="149">
      <pivotArea dataOnly="0" labelOnly="1" grandRow="1" outline="0" fieldPosition="0"/>
    </format>
    <format dxfId="1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a" xr10:uid="{3D49D7F1-065D-4EBD-9617-33BB9E3B825D}" sourceName="Kategoria">
  <pivotTables>
    <pivotTable tabId="3" name="PivotTable1"/>
  </pivotTables>
  <data>
    <tabular pivotCacheId="136917213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tegoria" xr10:uid="{68386214-3782-472A-8C64-F0E83F8B059E}" cache="Slicer_Kategoria" caption="Kategoria"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943F27-B4EE-4B43-91F8-BE397C138D95}" name="Tabela1" displayName="Tabela1" ref="A1:K9" totalsRowShown="0">
  <autoFilter ref="A1:K9" xr:uid="{0C943F27-B4EE-4B43-91F8-BE397C138D95}"/>
  <tableColumns count="11">
    <tableColumn id="1" xr3:uid="{706F3B68-F370-4410-90AF-11CC0557FC32}" name="OrderID"/>
    <tableColumn id="2" xr3:uid="{89A93875-5825-4A9A-A75A-B204F222A01D}" name="Date" dataDxfId="164"/>
    <tableColumn id="3" xr3:uid="{24F5376B-21C7-4633-82A0-69B4FAFE16F7}" name="Dostawca"/>
    <tableColumn id="4" xr3:uid="{8BC76CF1-E64A-48FE-9E89-D36E197B1985}" name="Kategoria"/>
    <tableColumn id="5" xr3:uid="{A6FB3B4F-DB11-46DA-B294-670E012AD6C5}" name="Kraj"/>
    <tableColumn id="6" xr3:uid="{4FAB6F43-66F0-4F6C-8F1E-266EF06261F2}" name="Cena_jedn"/>
    <tableColumn id="7" xr3:uid="{345B9004-1999-4C84-94D9-F7E260725AF7}" name="Ilosc"/>
    <tableColumn id="8" xr3:uid="{564134B5-5567-4E74-B932-99A5D867D549}" name="Waluta"/>
    <tableColumn id="9" xr3:uid="{9112B731-E79C-4659-BBF3-D37579FC677A}" name="Wartość zamówienia" dataDxfId="163">
      <calculatedColumnFormula>Tabela1[[#This Row],[Cena_jedn]]*Tabela1[[#This Row],[Ilosc]]</calculatedColumnFormula>
    </tableColumn>
    <tableColumn id="10" xr3:uid="{0EEDF38F-115C-4968-A3C8-AECF429BDCA6}" name="Column1" dataDxfId="162">
      <calculatedColumnFormula>IF(Tabela1[[#This Row],[Wartość zamówienia]]&gt;2000, "Grupa1", "Grupa2")</calculatedColumnFormula>
    </tableColumn>
    <tableColumn id="11" xr3:uid="{4039F180-EA74-4D89-8282-31F747097F36}" name="Miesiąc" dataDxfId="161">
      <calculatedColumnFormula>MONTH(Tabela1[[#This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0E954-7FAF-4560-84C1-26CC0825B70D}">
  <dimension ref="A1:T15"/>
  <sheetViews>
    <sheetView tabSelected="1" workbookViewId="0">
      <selection activeCell="F20" sqref="F20"/>
    </sheetView>
  </sheetViews>
  <sheetFormatPr defaultRowHeight="15" x14ac:dyDescent="0.25"/>
  <cols>
    <col min="1" max="1" width="10.28515625" customWidth="1"/>
    <col min="2" max="2" width="13" customWidth="1"/>
    <col min="3" max="3" width="11.85546875" customWidth="1"/>
    <col min="4" max="4" width="11.5703125" customWidth="1"/>
    <col min="6" max="6" width="12.7109375" customWidth="1"/>
    <col min="8" max="8" width="9.42578125" customWidth="1"/>
    <col min="9" max="9" width="20.42578125" customWidth="1"/>
    <col min="11" max="11" width="11.5703125" customWidth="1"/>
    <col min="13" max="13" width="14.7109375" customWidth="1"/>
    <col min="14" max="14" width="13.140625" customWidth="1"/>
    <col min="19" max="19" width="10.140625" customWidth="1"/>
    <col min="20" max="20" width="10.42578125" customWidth="1"/>
  </cols>
  <sheetData>
    <row r="1" spans="1:20" x14ac:dyDescent="0.25">
      <c r="A1" t="s">
        <v>0</v>
      </c>
      <c r="B1" t="s">
        <v>1</v>
      </c>
      <c r="C1" t="s">
        <v>2</v>
      </c>
      <c r="D1" t="s">
        <v>3</v>
      </c>
      <c r="E1" t="s">
        <v>4</v>
      </c>
      <c r="F1" t="s">
        <v>5</v>
      </c>
      <c r="G1" t="s">
        <v>6</v>
      </c>
      <c r="H1" t="s">
        <v>7</v>
      </c>
      <c r="I1" t="s">
        <v>21</v>
      </c>
      <c r="J1" t="s">
        <v>22</v>
      </c>
      <c r="K1" t="s">
        <v>23</v>
      </c>
      <c r="N1" s="6" t="s">
        <v>26</v>
      </c>
      <c r="O1" s="4"/>
      <c r="P1" s="4"/>
      <c r="Q1" s="6" t="s">
        <v>27</v>
      </c>
      <c r="S1" t="s">
        <v>28</v>
      </c>
    </row>
    <row r="2" spans="1:20" x14ac:dyDescent="0.25">
      <c r="A2">
        <v>1001</v>
      </c>
      <c r="B2" s="1">
        <v>45296</v>
      </c>
      <c r="C2" t="s">
        <v>8</v>
      </c>
      <c r="D2" t="s">
        <v>9</v>
      </c>
      <c r="E2" t="s">
        <v>10</v>
      </c>
      <c r="F2">
        <v>120</v>
      </c>
      <c r="G2">
        <v>10</v>
      </c>
      <c r="H2" t="s">
        <v>11</v>
      </c>
      <c r="I2">
        <f>Tabela1[[#This Row],[Cena_jedn]]*Tabela1[[#This Row],[Ilosc]]</f>
        <v>1200</v>
      </c>
      <c r="J2" t="str">
        <f>IF(Tabela1[[#This Row],[Wartość zamówienia]]&gt;2000, "Grupa1", "Grupa2")</f>
        <v>Grupa2</v>
      </c>
      <c r="K2">
        <f>MONTH(Tabela1[[#This Row],[Date]])</f>
        <v>1</v>
      </c>
      <c r="M2" t="s">
        <v>24</v>
      </c>
      <c r="N2" s="5" t="str">
        <f>_xlfn.XLOOKUP(O2,Tabela1[Wartość zamówienia],Tabela1[Dostawca])</f>
        <v>AlphaTrade</v>
      </c>
      <c r="O2">
        <f>MAX(Tabela1[Wartość zamówienia])</f>
        <v>2360</v>
      </c>
      <c r="P2" t="s">
        <v>25</v>
      </c>
      <c r="Q2" s="5">
        <f>AVERAGEIF(Tabela1[Kategoria],R2,Tabela1[Cena_jedn])</f>
        <v>120.75</v>
      </c>
      <c r="R2" t="s">
        <v>9</v>
      </c>
      <c r="T2" s="3" t="str" cm="1">
        <f t="array" ref="T2:T4">_xlfn.UNIQUE(Tabela1[Kategoria])</f>
        <v>IT</v>
      </c>
    </row>
    <row r="3" spans="1:20" x14ac:dyDescent="0.25">
      <c r="A3">
        <v>1002</v>
      </c>
      <c r="B3" s="1">
        <v>45298</v>
      </c>
      <c r="C3" t="s">
        <v>12</v>
      </c>
      <c r="D3" t="s">
        <v>13</v>
      </c>
      <c r="E3" t="s">
        <v>14</v>
      </c>
      <c r="F3">
        <v>80</v>
      </c>
      <c r="G3">
        <v>25</v>
      </c>
      <c r="H3" t="s">
        <v>15</v>
      </c>
      <c r="I3">
        <f>Tabela1[[#This Row],[Cena_jedn]]*Tabela1[[#This Row],[Ilosc]]</f>
        <v>2000</v>
      </c>
      <c r="J3" t="str">
        <f>IF(Tabela1[[#This Row],[Wartość zamówienia]]&gt;2000, "Grupa1", "Grupa2")</f>
        <v>Grupa2</v>
      </c>
      <c r="K3">
        <f>MONTH(Tabela1[[#This Row],[Date]])</f>
        <v>1</v>
      </c>
      <c r="T3" s="3" t="str">
        <v>Logistyka</v>
      </c>
    </row>
    <row r="4" spans="1:20" x14ac:dyDescent="0.25">
      <c r="A4">
        <v>1003</v>
      </c>
      <c r="B4" s="1">
        <v>45301</v>
      </c>
      <c r="C4" t="s">
        <v>8</v>
      </c>
      <c r="D4" t="s">
        <v>9</v>
      </c>
      <c r="E4" t="s">
        <v>10</v>
      </c>
      <c r="F4">
        <v>115</v>
      </c>
      <c r="G4">
        <v>5</v>
      </c>
      <c r="H4" t="s">
        <v>11</v>
      </c>
      <c r="I4">
        <f>Tabela1[[#This Row],[Cena_jedn]]*Tabela1[[#This Row],[Ilosc]]</f>
        <v>575</v>
      </c>
      <c r="J4" t="str">
        <f>IF(Tabela1[[#This Row],[Wartość zamówienia]]&gt;2000, "Grupa1", "Grupa2")</f>
        <v>Grupa2</v>
      </c>
      <c r="K4">
        <f>MONTH(Tabela1[[#This Row],[Date]])</f>
        <v>1</v>
      </c>
      <c r="T4" s="3" t="str">
        <v>Marketing</v>
      </c>
    </row>
    <row r="5" spans="1:20" x14ac:dyDescent="0.25">
      <c r="A5">
        <v>1004</v>
      </c>
      <c r="B5" s="1">
        <v>45324</v>
      </c>
      <c r="C5" t="s">
        <v>16</v>
      </c>
      <c r="D5" t="s">
        <v>17</v>
      </c>
      <c r="E5" t="s">
        <v>18</v>
      </c>
      <c r="F5">
        <v>200</v>
      </c>
      <c r="G5">
        <v>8</v>
      </c>
      <c r="H5" t="s">
        <v>19</v>
      </c>
      <c r="I5">
        <f>Tabela1[[#This Row],[Cena_jedn]]*Tabela1[[#This Row],[Ilosc]]</f>
        <v>1600</v>
      </c>
      <c r="J5" t="str">
        <f>IF(Tabela1[[#This Row],[Wartość zamówienia]]&gt;2000, "Grupa1", "Grupa2")</f>
        <v>Grupa2</v>
      </c>
      <c r="K5">
        <f>MONTH(Tabela1[[#This Row],[Date]])</f>
        <v>2</v>
      </c>
      <c r="N5" s="7" t="s">
        <v>29</v>
      </c>
    </row>
    <row r="6" spans="1:20" x14ac:dyDescent="0.25">
      <c r="A6">
        <v>1005</v>
      </c>
      <c r="B6" s="1">
        <v>45327</v>
      </c>
      <c r="C6" t="s">
        <v>12</v>
      </c>
      <c r="D6" t="s">
        <v>13</v>
      </c>
      <c r="E6" t="s">
        <v>14</v>
      </c>
      <c r="F6">
        <v>78</v>
      </c>
      <c r="G6">
        <v>30</v>
      </c>
      <c r="H6" t="s">
        <v>15</v>
      </c>
      <c r="I6">
        <f>Tabela1[[#This Row],[Cena_jedn]]*Tabela1[[#This Row],[Ilosc]]</f>
        <v>2340</v>
      </c>
      <c r="J6" t="str">
        <f>IF(Tabela1[[#This Row],[Wartość zamówienia]]&gt;2000, "Grupa1", "Grupa2")</f>
        <v>Grupa1</v>
      </c>
      <c r="K6">
        <f>MONTH(Tabela1[[#This Row],[Date]])</f>
        <v>2</v>
      </c>
      <c r="M6" s="3" t="str" cm="1">
        <f t="array" ref="M6:M9">_xlfn.UNIQUE(Tabela1[Dostawca])</f>
        <v>AlphaTrade</v>
      </c>
      <c r="N6" s="8">
        <f>SUMIF(Tabela1[Dostawca],M6,Tabela1[Wartość zamówienia])</f>
        <v>4135</v>
      </c>
    </row>
    <row r="7" spans="1:20" x14ac:dyDescent="0.25">
      <c r="A7">
        <v>1006</v>
      </c>
      <c r="B7" s="1">
        <v>45342</v>
      </c>
      <c r="C7" t="s">
        <v>20</v>
      </c>
      <c r="D7" t="s">
        <v>9</v>
      </c>
      <c r="E7" t="s">
        <v>10</v>
      </c>
      <c r="F7">
        <v>130</v>
      </c>
      <c r="G7">
        <v>12</v>
      </c>
      <c r="H7" t="s">
        <v>11</v>
      </c>
      <c r="I7">
        <f>Tabela1[[#This Row],[Cena_jedn]]*Tabela1[[#This Row],[Ilosc]]</f>
        <v>1560</v>
      </c>
      <c r="J7" t="str">
        <f>IF(Tabela1[[#This Row],[Wartość zamówienia]]&gt;2000, "Grupa1", "Grupa2")</f>
        <v>Grupa2</v>
      </c>
      <c r="K7">
        <f>MONTH(Tabela1[[#This Row],[Date]])</f>
        <v>2</v>
      </c>
      <c r="M7" t="str">
        <v>BetaSupply</v>
      </c>
      <c r="N7" s="8">
        <f>SUMIF(Tabela1[Dostawca],M7,Tabela1[Wartość zamówienia])</f>
        <v>4340</v>
      </c>
    </row>
    <row r="8" spans="1:20" x14ac:dyDescent="0.25">
      <c r="A8">
        <v>1007</v>
      </c>
      <c r="B8" s="1">
        <v>45352</v>
      </c>
      <c r="C8" t="s">
        <v>16</v>
      </c>
      <c r="D8" t="s">
        <v>17</v>
      </c>
      <c r="E8" t="s">
        <v>18</v>
      </c>
      <c r="F8">
        <v>210</v>
      </c>
      <c r="G8">
        <v>6</v>
      </c>
      <c r="H8" t="s">
        <v>19</v>
      </c>
      <c r="I8">
        <f>Tabela1[[#This Row],[Cena_jedn]]*Tabela1[[#This Row],[Ilosc]]</f>
        <v>1260</v>
      </c>
      <c r="J8" t="str">
        <f>IF(Tabela1[[#This Row],[Wartość zamówienia]]&gt;2000, "Grupa1", "Grupa2")</f>
        <v>Grupa2</v>
      </c>
      <c r="K8">
        <f>MONTH(Tabela1[[#This Row],[Date]])</f>
        <v>3</v>
      </c>
      <c r="M8" t="str">
        <v>GammaCorp</v>
      </c>
      <c r="N8" s="8">
        <f>SUMIF(Tabela1[Dostawca],M8,Tabela1[Wartość zamówienia])</f>
        <v>2860</v>
      </c>
    </row>
    <row r="9" spans="1:20" x14ac:dyDescent="0.25">
      <c r="A9">
        <v>1008</v>
      </c>
      <c r="B9" s="1">
        <v>45354</v>
      </c>
      <c r="C9" t="s">
        <v>8</v>
      </c>
      <c r="D9" t="s">
        <v>9</v>
      </c>
      <c r="E9" t="s">
        <v>10</v>
      </c>
      <c r="F9">
        <v>118</v>
      </c>
      <c r="G9">
        <v>20</v>
      </c>
      <c r="H9" t="s">
        <v>11</v>
      </c>
      <c r="I9">
        <f>Tabela1[[#This Row],[Cena_jedn]]*Tabela1[[#This Row],[Ilosc]]</f>
        <v>2360</v>
      </c>
      <c r="J9" t="str">
        <f>IF(Tabela1[[#This Row],[Wartość zamówienia]]&gt;2000, "Grupa1", "Grupa2")</f>
        <v>Grupa1</v>
      </c>
      <c r="K9">
        <f>MONTH(Tabela1[[#This Row],[Date]])</f>
        <v>3</v>
      </c>
      <c r="M9" t="str">
        <v>DeltaGroup</v>
      </c>
      <c r="N9" s="9">
        <f>SUMIF(Tabela1[Dostawca],M9,Tabela1[Wartość zamówienia])</f>
        <v>1560</v>
      </c>
    </row>
    <row r="12" spans="1:20" x14ac:dyDescent="0.25">
      <c r="Q12" s="10"/>
    </row>
    <row r="14" spans="1:20" x14ac:dyDescent="0.25">
      <c r="S14" s="2"/>
    </row>
    <row r="15" spans="1:20" x14ac:dyDescent="0.25">
      <c r="S15" s="2"/>
    </row>
  </sheetData>
  <phoneticPr fontId="1" type="noConversion"/>
  <conditionalFormatting sqref="I2:I9">
    <cfRule type="aboveAverage" dxfId="0" priority="2"/>
    <cfRule type="cellIs" dxfId="1" priority="1" operator="greaterThan">
      <formula>1500</formula>
    </cfRule>
  </conditionalFormatting>
  <dataValidations count="1">
    <dataValidation type="list" allowBlank="1" showInputMessage="1" showErrorMessage="1" sqref="R2" xr:uid="{2B633146-FE2E-4088-A21F-2B6EA1332EF1}">
      <formula1>$T$2:$T$4</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FC597-DB3B-463F-BF8F-A71F0A4DC45A}">
  <dimension ref="A1:E9"/>
  <sheetViews>
    <sheetView workbookViewId="0">
      <selection activeCell="A14" sqref="A14"/>
    </sheetView>
  </sheetViews>
  <sheetFormatPr defaultRowHeight="15" x14ac:dyDescent="0.25"/>
  <cols>
    <col min="1" max="1" width="26.7109375" bestFit="1" customWidth="1"/>
    <col min="2" max="2" width="16.85546875" bestFit="1" customWidth="1"/>
    <col min="3" max="3" width="9.42578125" bestFit="1" customWidth="1"/>
    <col min="4" max="4" width="9.85546875" bestFit="1" customWidth="1"/>
    <col min="5" max="5" width="11.28515625" bestFit="1" customWidth="1"/>
    <col min="6" max="6" width="13.28515625" bestFit="1" customWidth="1"/>
    <col min="7" max="7" width="16.42578125" bestFit="1" customWidth="1"/>
    <col min="8" max="8" width="14.140625" bestFit="1" customWidth="1"/>
    <col min="9" max="9" width="17.42578125" bestFit="1" customWidth="1"/>
    <col min="10" max="10" width="11.28515625" bestFit="1" customWidth="1"/>
  </cols>
  <sheetData>
    <row r="1" spans="1:5" x14ac:dyDescent="0.25">
      <c r="A1" s="11" t="s">
        <v>4</v>
      </c>
      <c r="B1" s="12" t="s">
        <v>34</v>
      </c>
    </row>
    <row r="3" spans="1:5" x14ac:dyDescent="0.25">
      <c r="A3" s="11" t="s">
        <v>33</v>
      </c>
      <c r="B3" s="11" t="s">
        <v>32</v>
      </c>
      <c r="C3" s="12"/>
      <c r="D3" s="12"/>
      <c r="E3" s="12"/>
    </row>
    <row r="4" spans="1:5" x14ac:dyDescent="0.25">
      <c r="A4" s="11" t="s">
        <v>30</v>
      </c>
      <c r="B4" s="12" t="s">
        <v>9</v>
      </c>
      <c r="C4" s="12" t="s">
        <v>13</v>
      </c>
      <c r="D4" s="12" t="s">
        <v>17</v>
      </c>
      <c r="E4" s="12" t="s">
        <v>31</v>
      </c>
    </row>
    <row r="5" spans="1:5" x14ac:dyDescent="0.25">
      <c r="A5" s="13" t="s">
        <v>8</v>
      </c>
      <c r="B5" s="14">
        <v>4135</v>
      </c>
      <c r="C5" s="14"/>
      <c r="D5" s="14"/>
      <c r="E5" s="14">
        <v>4135</v>
      </c>
    </row>
    <row r="6" spans="1:5" x14ac:dyDescent="0.25">
      <c r="A6" s="13" t="s">
        <v>12</v>
      </c>
      <c r="B6" s="14"/>
      <c r="C6" s="14">
        <v>4340</v>
      </c>
      <c r="D6" s="14"/>
      <c r="E6" s="14">
        <v>4340</v>
      </c>
    </row>
    <row r="7" spans="1:5" x14ac:dyDescent="0.25">
      <c r="A7" s="13" t="s">
        <v>20</v>
      </c>
      <c r="B7" s="14">
        <v>1560</v>
      </c>
      <c r="C7" s="14"/>
      <c r="D7" s="14"/>
      <c r="E7" s="14">
        <v>1560</v>
      </c>
    </row>
    <row r="8" spans="1:5" x14ac:dyDescent="0.25">
      <c r="A8" s="13" t="s">
        <v>16</v>
      </c>
      <c r="B8" s="14"/>
      <c r="C8" s="14"/>
      <c r="D8" s="14">
        <v>2860</v>
      </c>
      <c r="E8" s="14">
        <v>2860</v>
      </c>
    </row>
    <row r="9" spans="1:5" x14ac:dyDescent="0.25">
      <c r="A9" s="13" t="s">
        <v>31</v>
      </c>
      <c r="B9" s="14">
        <v>5695</v>
      </c>
      <c r="C9" s="14">
        <v>4340</v>
      </c>
      <c r="D9" s="14">
        <v>2860</v>
      </c>
      <c r="E9" s="14">
        <v>12895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T1-T6a</vt:lpstr>
      <vt:lpstr>Pivot Table T6b &amp;T7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Przemysław Ćwięk</dc:creator>
  <cp:lastModifiedBy>Przemysław Ćwięk</cp:lastModifiedBy>
  <dcterms:created xsi:type="dcterms:W3CDTF">2026-01-28T18:06:40Z</dcterms:created>
  <dcterms:modified xsi:type="dcterms:W3CDTF">2026-01-29T11:27:13Z</dcterms:modified>
</cp:coreProperties>
</file>